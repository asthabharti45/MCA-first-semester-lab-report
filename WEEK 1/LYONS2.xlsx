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EK 1\"/>
    </mc:Choice>
  </mc:AlternateContent>
  <xr:revisionPtr revIDLastSave="0" documentId="13_ncr:1_{7513DF6B-6688-4A03-8862-3163E8DAA1EE}" xr6:coauthVersionLast="47" xr6:coauthVersionMax="47" xr10:uidLastSave="{00000000-0000-0000-0000-000000000000}"/>
  <bookViews>
    <workbookView xWindow="-120" yWindow="-120" windowWidth="29040" windowHeight="15720" activeTab="1" xr2:uid="{4A5E8615-C57A-49F9-8C75-0DAF55287060}"/>
  </bookViews>
  <sheets>
    <sheet name="formulas" sheetId="6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6" l="1"/>
  <c r="E12" i="6"/>
  <c r="E11" i="6"/>
  <c r="E10" i="6"/>
  <c r="B10" i="6"/>
  <c r="C8" i="6"/>
  <c r="D8" i="6" s="1"/>
  <c r="F8" i="6" s="1"/>
  <c r="G8" i="6" s="1"/>
  <c r="C7" i="6"/>
  <c r="D7" i="6" s="1"/>
  <c r="F7" i="6" s="1"/>
  <c r="G7" i="6" s="1"/>
  <c r="C6" i="6"/>
  <c r="D6" i="6" s="1"/>
  <c r="F6" i="6" s="1"/>
  <c r="G6" i="6" s="1"/>
  <c r="C5" i="6"/>
  <c r="C10" i="6" s="1"/>
  <c r="D4" i="6"/>
  <c r="C4" i="6"/>
  <c r="F8" i="1"/>
  <c r="G8" i="1"/>
  <c r="G7" i="1"/>
  <c r="G6" i="1"/>
  <c r="G5" i="1"/>
  <c r="G4" i="1"/>
  <c r="G13" i="1" s="1"/>
  <c r="F7" i="1"/>
  <c r="F6" i="1"/>
  <c r="F5" i="1"/>
  <c r="F4" i="1"/>
  <c r="D8" i="1"/>
  <c r="D7" i="1"/>
  <c r="D6" i="1"/>
  <c r="D5" i="1"/>
  <c r="D4" i="1"/>
  <c r="D13" i="1" s="1"/>
  <c r="C8" i="1"/>
  <c r="C7" i="1"/>
  <c r="C6" i="1"/>
  <c r="C5" i="1"/>
  <c r="C4" i="1"/>
  <c r="B10" i="1"/>
  <c r="E13" i="1"/>
  <c r="E12" i="1"/>
  <c r="E11" i="1"/>
  <c r="E10" i="1"/>
  <c r="F4" i="6" l="1"/>
  <c r="D5" i="6"/>
  <c r="F5" i="6" s="1"/>
  <c r="G5" i="6" s="1"/>
  <c r="D12" i="6"/>
  <c r="D13" i="6"/>
  <c r="G10" i="1"/>
  <c r="G11" i="1"/>
  <c r="G12" i="1"/>
  <c r="F13" i="1"/>
  <c r="F10" i="1"/>
  <c r="F11" i="1"/>
  <c r="F12" i="1"/>
  <c r="D10" i="1"/>
  <c r="D11" i="1"/>
  <c r="D12" i="1"/>
  <c r="C10" i="1"/>
  <c r="D11" i="6" l="1"/>
  <c r="F13" i="6"/>
  <c r="F11" i="6"/>
  <c r="G4" i="6"/>
  <c r="F12" i="6"/>
  <c r="F10" i="6"/>
  <c r="D10" i="6"/>
  <c r="G13" i="6" l="1"/>
  <c r="G12" i="6"/>
  <c r="G11" i="6"/>
  <c r="G10" i="6"/>
</calcChain>
</file>

<file path=xl/sharedStrings.xml><?xml version="1.0" encoding="utf-8"?>
<sst xmlns="http://schemas.openxmlformats.org/spreadsheetml/2006/main" count="40" uniqueCount="21">
  <si>
    <t>PRODUCT</t>
  </si>
  <si>
    <t>COST PRICE
PER LITRE</t>
  </si>
  <si>
    <t>LITRES SOLD</t>
  </si>
  <si>
    <t>TOTAL INCOME</t>
  </si>
  <si>
    <t>PROFIT</t>
  </si>
  <si>
    <t>MARKUP %</t>
  </si>
  <si>
    <t>Cascade</t>
  </si>
  <si>
    <t>Quench</t>
  </si>
  <si>
    <t>Xtra</t>
  </si>
  <si>
    <t>House Brand</t>
  </si>
  <si>
    <t>TOTAL</t>
  </si>
  <si>
    <t>HIGHEST SELLING PRICE</t>
  </si>
  <si>
    <t>AVERAGE SELLING PRICE</t>
  </si>
  <si>
    <t>LOWEST SELLING PRICE</t>
  </si>
  <si>
    <t>MARK UP 
PER ITEM 35%</t>
  </si>
  <si>
    <t>SELLING 
PRICE</t>
  </si>
  <si>
    <t>Problem  4.</t>
  </si>
  <si>
    <t>LYONSINC – Orange JUICE Sales</t>
  </si>
  <si>
    <r>
      <rPr>
        <b/>
        <sz val="14"/>
        <color theme="1"/>
        <rFont val="Calisto MT"/>
        <family val="1"/>
      </rPr>
      <t>Sun</t>
    </r>
    <r>
      <rPr>
        <sz val="14"/>
        <color theme="1"/>
        <rFont val="Calisto MT"/>
        <family val="1"/>
      </rPr>
      <t xml:space="preserve"> </t>
    </r>
    <r>
      <rPr>
        <b/>
        <sz val="14"/>
        <color theme="1"/>
        <rFont val="Calisto MT"/>
        <family val="1"/>
      </rPr>
      <t>Splash</t>
    </r>
  </si>
  <si>
    <r>
      <rPr>
        <b/>
        <sz val="10"/>
        <color theme="1"/>
        <rFont val="Calisto MT"/>
        <family val="1"/>
      </rPr>
      <t>Sun</t>
    </r>
    <r>
      <rPr>
        <sz val="10"/>
        <color theme="1"/>
        <rFont val="Calisto MT"/>
        <family val="1"/>
      </rPr>
      <t xml:space="preserve"> </t>
    </r>
    <r>
      <rPr>
        <b/>
        <sz val="10"/>
        <color theme="1"/>
        <rFont val="Calisto MT"/>
        <family val="1"/>
      </rPr>
      <t>Splash</t>
    </r>
  </si>
  <si>
    <t xml:space="preserve">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</si>
</sst>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sz val="14"/>
      <name val="Calisto MT"/>
      <family val="1"/>
    </font>
    <font>
      <b/>
      <sz val="14"/>
      <color theme="1"/>
      <name val="Calisto MT"/>
      <family val="1"/>
    </font>
    <font>
      <sz val="14"/>
      <color theme="1"/>
      <name val="Calisto MT"/>
      <family val="1"/>
    </font>
    <font>
      <u/>
      <sz val="10"/>
      <color theme="1"/>
      <name val="Calibri"/>
      <family val="2"/>
      <scheme val="minor"/>
    </font>
    <font>
      <b/>
      <sz val="10"/>
      <name val="Calisto MT"/>
      <family val="1"/>
    </font>
    <font>
      <b/>
      <sz val="10"/>
      <color theme="1"/>
      <name val="Calisto MT"/>
      <family val="1"/>
    </font>
    <font>
      <sz val="10"/>
      <color theme="1"/>
      <name val="Calisto MT"/>
      <family val="1"/>
    </font>
    <font>
      <b/>
      <sz val="7"/>
      <name val="Calisto MT"/>
      <family val="1"/>
    </font>
    <font>
      <sz val="7"/>
      <color theme="1"/>
      <name val="Calisto MT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7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ck">
        <color indexed="64"/>
      </top>
      <bottom style="thin">
        <color rgb="FF808080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rgb="FF808080"/>
      </bottom>
      <diagonal/>
    </border>
    <border>
      <left style="thin">
        <color rgb="FF808080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rgb="FF808080"/>
      </top>
      <bottom style="thick">
        <color indexed="64"/>
      </bottom>
      <diagonal/>
    </border>
    <border>
      <left/>
      <right style="thin">
        <color rgb="FF808080"/>
      </right>
      <top style="thin">
        <color rgb="FF808080"/>
      </top>
      <bottom style="thick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ck">
        <color indexed="64"/>
      </bottom>
      <diagonal/>
    </border>
    <border>
      <left style="thin">
        <color rgb="FF808080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rgb="FF808080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rgb="FF808080"/>
      </top>
      <bottom style="thin">
        <color rgb="FF808080"/>
      </bottom>
      <diagonal/>
    </border>
    <border>
      <left style="thick">
        <color indexed="64"/>
      </left>
      <right/>
      <top style="thin">
        <color rgb="FF808080"/>
      </top>
      <bottom style="thick">
        <color indexed="64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ck">
        <color indexed="64"/>
      </bottom>
      <diagonal/>
    </border>
  </borders>
  <cellStyleXfs count="2">
    <xf numFmtId="0" fontId="0" fillId="0" borderId="0"/>
    <xf numFmtId="0" fontId="2" fillId="2" borderId="21" applyNumberFormat="0" applyFont="0" applyAlignment="0" applyProtection="0"/>
  </cellStyleXfs>
  <cellXfs count="71">
    <xf numFmtId="0" fontId="0" fillId="0" borderId="0" xfId="0"/>
    <xf numFmtId="0" fontId="1" fillId="0" borderId="0" xfId="0" applyFont="1"/>
    <xf numFmtId="0" fontId="3" fillId="2" borderId="22" xfId="1" applyFont="1" applyBorder="1" applyAlignment="1">
      <alignment horizontal="center"/>
    </xf>
    <xf numFmtId="0" fontId="4" fillId="2" borderId="22" xfId="1" applyFont="1" applyBorder="1" applyAlignment="1">
      <alignment horizontal="center" vertical="center" wrapText="1"/>
    </xf>
    <xf numFmtId="0" fontId="4" fillId="2" borderId="22" xfId="1" applyFont="1" applyBorder="1" applyAlignment="1">
      <alignment horizontal="center" vertical="center"/>
    </xf>
    <xf numFmtId="0" fontId="5" fillId="0" borderId="7" xfId="0" applyFont="1" applyBorder="1"/>
    <xf numFmtId="2" fontId="6" fillId="0" borderId="5" xfId="0" applyNumberFormat="1" applyFont="1" applyBorder="1" applyAlignment="1">
      <alignment horizontal="center" vertical="center"/>
    </xf>
    <xf numFmtId="2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9" fontId="6" fillId="0" borderId="8" xfId="0" applyNumberFormat="1" applyFont="1" applyBorder="1" applyAlignment="1">
      <alignment horizontal="center"/>
    </xf>
    <xf numFmtId="0" fontId="5" fillId="0" borderId="9" xfId="0" applyFont="1" applyBorder="1"/>
    <xf numFmtId="2" fontId="6" fillId="0" borderId="4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0" xfId="0" applyFont="1" applyBorder="1"/>
    <xf numFmtId="0" fontId="5" fillId="0" borderId="11" xfId="0" applyFont="1" applyBorder="1"/>
    <xf numFmtId="0" fontId="6" fillId="0" borderId="11" xfId="0" applyFont="1" applyBorder="1"/>
    <xf numFmtId="0" fontId="6" fillId="0" borderId="8" xfId="0" applyFont="1" applyBorder="1"/>
    <xf numFmtId="0" fontId="6" fillId="0" borderId="12" xfId="0" applyFont="1" applyBorder="1"/>
    <xf numFmtId="0" fontId="6" fillId="0" borderId="17" xfId="0" applyFont="1" applyBorder="1"/>
    <xf numFmtId="2" fontId="6" fillId="0" borderId="18" xfId="0" applyNumberFormat="1" applyFont="1" applyBorder="1" applyAlignment="1">
      <alignment horizontal="center" vertical="center"/>
    </xf>
    <xf numFmtId="2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4" fillId="0" borderId="19" xfId="0" applyFont="1" applyBorder="1"/>
    <xf numFmtId="2" fontId="6" fillId="0" borderId="6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20" xfId="0" applyFont="1" applyBorder="1"/>
    <xf numFmtId="0" fontId="4" fillId="0" borderId="11" xfId="0" applyFont="1" applyBorder="1"/>
    <xf numFmtId="0" fontId="6" fillId="0" borderId="4" xfId="0" applyFont="1" applyBorder="1" applyAlignment="1">
      <alignment horizontal="center" vertical="center"/>
    </xf>
    <xf numFmtId="0" fontId="4" fillId="0" borderId="13" xfId="0" applyFont="1" applyBorder="1"/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2" fontId="6" fillId="0" borderId="15" xfId="0" applyNumberFormat="1" applyFont="1" applyBorder="1" applyAlignment="1">
      <alignment horizontal="center" vertical="center"/>
    </xf>
    <xf numFmtId="0" fontId="6" fillId="0" borderId="16" xfId="0" applyFont="1" applyBorder="1"/>
    <xf numFmtId="0" fontId="7" fillId="2" borderId="22" xfId="1" applyFont="1" applyBorder="1" applyAlignment="1">
      <alignment horizontal="center"/>
    </xf>
    <xf numFmtId="0" fontId="8" fillId="2" borderId="22" xfId="1" applyFont="1" applyBorder="1" applyAlignment="1">
      <alignment horizontal="center" vertical="center" wrapText="1"/>
    </xf>
    <xf numFmtId="0" fontId="8" fillId="2" borderId="22" xfId="1" applyFont="1" applyBorder="1" applyAlignment="1">
      <alignment horizontal="center" vertical="center"/>
    </xf>
    <xf numFmtId="0" fontId="9" fillId="0" borderId="7" xfId="0" applyFont="1" applyBorder="1"/>
    <xf numFmtId="2" fontId="10" fillId="0" borderId="5" xfId="0" applyNumberFormat="1" applyFont="1" applyBorder="1" applyAlignment="1">
      <alignment horizontal="center" vertical="center"/>
    </xf>
    <xf numFmtId="2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9" fontId="10" fillId="0" borderId="8" xfId="0" applyNumberFormat="1" applyFont="1" applyBorder="1" applyAlignment="1">
      <alignment horizontal="center"/>
    </xf>
    <xf numFmtId="0" fontId="9" fillId="0" borderId="9" xfId="0" applyFont="1" applyBorder="1"/>
    <xf numFmtId="2" fontId="10" fillId="0" borderId="4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0" xfId="0" applyFont="1" applyBorder="1"/>
    <xf numFmtId="0" fontId="9" fillId="0" borderId="11" xfId="0" applyFont="1" applyBorder="1"/>
    <xf numFmtId="0" fontId="10" fillId="0" borderId="11" xfId="0" applyFont="1" applyBorder="1"/>
    <xf numFmtId="0" fontId="10" fillId="0" borderId="8" xfId="0" applyFont="1" applyBorder="1"/>
    <xf numFmtId="0" fontId="10" fillId="0" borderId="12" xfId="0" applyFont="1" applyBorder="1"/>
    <xf numFmtId="0" fontId="10" fillId="0" borderId="17" xfId="0" applyFont="1" applyBorder="1"/>
    <xf numFmtId="2" fontId="10" fillId="0" borderId="18" xfId="0" applyNumberFormat="1" applyFont="1" applyBorder="1" applyAlignment="1">
      <alignment horizontal="center" vertical="center"/>
    </xf>
    <xf numFmtId="2" fontId="10" fillId="0" borderId="3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8" fillId="0" borderId="19" xfId="0" applyFont="1" applyBorder="1"/>
    <xf numFmtId="2" fontId="12" fillId="0" borderId="6" xfId="0" applyNumberFormat="1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20" xfId="0" applyFont="1" applyBorder="1"/>
    <xf numFmtId="2" fontId="12" fillId="0" borderId="1" xfId="0" applyNumberFormat="1" applyFont="1" applyBorder="1" applyAlignment="1">
      <alignment horizontal="center" vertical="center"/>
    </xf>
    <xf numFmtId="0" fontId="12" fillId="0" borderId="12" xfId="0" applyFont="1" applyBorder="1"/>
    <xf numFmtId="0" fontId="12" fillId="0" borderId="10" xfId="0" applyFont="1" applyBorder="1"/>
    <xf numFmtId="2" fontId="12" fillId="0" borderId="15" xfId="0" applyNumberFormat="1" applyFont="1" applyBorder="1" applyAlignment="1">
      <alignment horizontal="center" vertical="center"/>
    </xf>
    <xf numFmtId="0" fontId="12" fillId="0" borderId="16" xfId="0" applyFont="1" applyBorder="1"/>
    <xf numFmtId="0" fontId="8" fillId="0" borderId="23" xfId="0" applyFont="1" applyBorder="1"/>
    <xf numFmtId="0" fontId="8" fillId="0" borderId="4" xfId="0" applyFont="1" applyBorder="1"/>
    <xf numFmtId="0" fontId="8" fillId="0" borderId="24" xfId="0" applyFont="1" applyBorder="1"/>
    <xf numFmtId="0" fontId="8" fillId="0" borderId="14" xfId="0" applyFont="1" applyBorder="1"/>
    <xf numFmtId="0" fontId="8" fillId="0" borderId="25" xfId="0" applyFont="1" applyBorder="1"/>
    <xf numFmtId="0" fontId="8" fillId="0" borderId="26" xfId="0" applyFont="1" applyBorder="1"/>
    <xf numFmtId="0" fontId="11" fillId="2" borderId="22" xfId="1" applyFont="1" applyBorder="1" applyAlignment="1">
      <alignment horizontal="center" vertical="center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formulas!$B$3</c:f>
              <c:strCache>
                <c:ptCount val="1"/>
                <c:pt idx="0">
                  <c:v>COST PRICE
PER LITRE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B23-4624-AF0B-BFFB3BBB900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B23-4624-AF0B-BFFB3BBB900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B23-4624-AF0B-BFFB3BBB900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B23-4624-AF0B-BFFB3BBB900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B23-4624-AF0B-BFFB3BBB900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formulas!$A$4:$A$8</c:f>
              <c:strCache>
                <c:ptCount val="5"/>
                <c:pt idx="0">
                  <c:v>Cascade</c:v>
                </c:pt>
                <c:pt idx="1">
                  <c:v>Quench</c:v>
                </c:pt>
                <c:pt idx="2">
                  <c:v>Xtra</c:v>
                </c:pt>
                <c:pt idx="3">
                  <c:v>Sun Splash</c:v>
                </c:pt>
                <c:pt idx="4">
                  <c:v>House Brand</c:v>
                </c:pt>
              </c:strCache>
            </c:strRef>
          </c:cat>
          <c:val>
            <c:numRef>
              <c:f>formulas!$B$4:$B$8</c:f>
              <c:numCache>
                <c:formatCode>0.00</c:formatCode>
                <c:ptCount val="5"/>
                <c:pt idx="0">
                  <c:v>3.75</c:v>
                </c:pt>
                <c:pt idx="1">
                  <c:v>3.65</c:v>
                </c:pt>
                <c:pt idx="2">
                  <c:v>4.25</c:v>
                </c:pt>
                <c:pt idx="3">
                  <c:v>1.5</c:v>
                </c:pt>
                <c:pt idx="4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B23-4624-AF0B-BFFB3BBB9000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COST PRICE
PER LITRE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8FF-4512-AE3C-4D167A2A5B3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8FF-4512-AE3C-4D167A2A5B3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8FF-4512-AE3C-4D167A2A5B3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8FF-4512-AE3C-4D167A2A5B3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8FF-4512-AE3C-4D167A2A5B3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Sheet1!$A$4:$A$8</c:f>
              <c:strCache>
                <c:ptCount val="5"/>
                <c:pt idx="0">
                  <c:v>Cascade</c:v>
                </c:pt>
                <c:pt idx="1">
                  <c:v>Quench</c:v>
                </c:pt>
                <c:pt idx="2">
                  <c:v>Xtra</c:v>
                </c:pt>
                <c:pt idx="3">
                  <c:v>Sun Splash</c:v>
                </c:pt>
                <c:pt idx="4">
                  <c:v>House Brand</c:v>
                </c:pt>
              </c:strCache>
            </c:strRef>
          </c:cat>
          <c:val>
            <c:numRef>
              <c:f>Sheet1!$B$4:$B$8</c:f>
              <c:numCache>
                <c:formatCode>0.00</c:formatCode>
                <c:ptCount val="5"/>
                <c:pt idx="0">
                  <c:v>3.75</c:v>
                </c:pt>
                <c:pt idx="1">
                  <c:v>3.65</c:v>
                </c:pt>
                <c:pt idx="2">
                  <c:v>4.25</c:v>
                </c:pt>
                <c:pt idx="3">
                  <c:v>1.5</c:v>
                </c:pt>
                <c:pt idx="4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B0-4A36-940E-67A52DC852C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4761</xdr:colOff>
      <xdr:row>13</xdr:row>
      <xdr:rowOff>22225</xdr:rowOff>
    </xdr:from>
    <xdr:to>
      <xdr:col>3</xdr:col>
      <xdr:colOff>3501</xdr:colOff>
      <xdr:row>27</xdr:row>
      <xdr:rowOff>84044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D4EEC8-086E-4F36-AC92-6200345C6B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22224</xdr:rowOff>
    </xdr:from>
    <xdr:to>
      <xdr:col>3</xdr:col>
      <xdr:colOff>19050</xdr:colOff>
      <xdr:row>28</xdr:row>
      <xdr:rowOff>9524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5199D5B-5AAA-A9C8-D361-95A54568BC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C6C56-13F9-400B-A685-42678FCD207A}">
  <dimension ref="A1:J25"/>
  <sheetViews>
    <sheetView showFormulas="1" topLeftCell="A10" zoomScale="136" zoomScaleNormal="136" workbookViewId="0">
      <selection activeCell="E29" sqref="E29"/>
    </sheetView>
  </sheetViews>
  <sheetFormatPr defaultRowHeight="15" x14ac:dyDescent="0.25"/>
  <cols>
    <col min="1" max="1" width="5.7109375" customWidth="1"/>
    <col min="2" max="2" width="4.42578125" customWidth="1"/>
    <col min="3" max="3" width="4.5703125" customWidth="1"/>
    <col min="4" max="4" width="6.7109375" customWidth="1"/>
    <col min="5" max="5" width="6.5703125" customWidth="1"/>
    <col min="6" max="6" width="6.42578125" customWidth="1"/>
    <col min="7" max="7" width="6.85546875" customWidth="1"/>
    <col min="8" max="8" width="3.85546875" customWidth="1"/>
  </cols>
  <sheetData>
    <row r="1" spans="1:8" ht="28.5" x14ac:dyDescent="0.45">
      <c r="A1" s="1" t="s">
        <v>16</v>
      </c>
      <c r="B1" s="1"/>
    </row>
    <row r="2" spans="1:8" ht="35.450000000000003" customHeight="1" x14ac:dyDescent="0.25">
      <c r="A2" s="34" t="s">
        <v>17</v>
      </c>
      <c r="B2" s="34"/>
      <c r="C2" s="34"/>
      <c r="D2" s="34"/>
      <c r="E2" s="34"/>
      <c r="F2" s="34"/>
      <c r="G2" s="34"/>
      <c r="H2" s="34"/>
    </row>
    <row r="3" spans="1:8" ht="73.5" customHeight="1" x14ac:dyDescent="0.25">
      <c r="A3" s="35" t="s">
        <v>0</v>
      </c>
      <c r="B3" s="35" t="s">
        <v>1</v>
      </c>
      <c r="C3" s="35" t="s">
        <v>14</v>
      </c>
      <c r="D3" s="35" t="s">
        <v>15</v>
      </c>
      <c r="E3" s="35" t="s">
        <v>2</v>
      </c>
      <c r="F3" s="70" t="s">
        <v>3</v>
      </c>
      <c r="G3" s="36" t="s">
        <v>4</v>
      </c>
      <c r="H3" s="70" t="s">
        <v>5</v>
      </c>
    </row>
    <row r="4" spans="1:8" x14ac:dyDescent="0.25">
      <c r="A4" s="37" t="s">
        <v>6</v>
      </c>
      <c r="B4" s="38">
        <v>3.75</v>
      </c>
      <c r="C4" s="39">
        <f>B4*0.35</f>
        <v>1.3125</v>
      </c>
      <c r="D4" s="39">
        <f>B4+C4</f>
        <v>5.0625</v>
      </c>
      <c r="E4" s="40">
        <v>234</v>
      </c>
      <c r="F4" s="39">
        <f>E4*D4</f>
        <v>1184.625</v>
      </c>
      <c r="G4" s="39">
        <f>F4-(B4*E4)</f>
        <v>307.125</v>
      </c>
      <c r="H4" s="41">
        <v>0.35</v>
      </c>
    </row>
    <row r="5" spans="1:8" x14ac:dyDescent="0.25">
      <c r="A5" s="42" t="s">
        <v>7</v>
      </c>
      <c r="B5" s="43">
        <v>3.65</v>
      </c>
      <c r="C5" s="44">
        <f>B5*0.35</f>
        <v>1.2774999999999999</v>
      </c>
      <c r="D5" s="44">
        <f>B5+C5</f>
        <v>4.9275000000000002</v>
      </c>
      <c r="E5" s="45">
        <v>345</v>
      </c>
      <c r="F5" s="44">
        <f>E5*D5</f>
        <v>1699.9875000000002</v>
      </c>
      <c r="G5" s="44">
        <f>F5-(B5*E5)</f>
        <v>440.73750000000018</v>
      </c>
      <c r="H5" s="46"/>
    </row>
    <row r="6" spans="1:8" x14ac:dyDescent="0.25">
      <c r="A6" s="47" t="s">
        <v>8</v>
      </c>
      <c r="B6" s="43">
        <v>4.25</v>
      </c>
      <c r="C6" s="44">
        <f>B6*0.35</f>
        <v>1.4874999999999998</v>
      </c>
      <c r="D6" s="44">
        <f>B6+C6</f>
        <v>5.7374999999999998</v>
      </c>
      <c r="E6" s="45">
        <v>456</v>
      </c>
      <c r="F6" s="44">
        <f>E6*D6</f>
        <v>2616.2999999999997</v>
      </c>
      <c r="G6" s="44">
        <f>F6-(B6*E6)</f>
        <v>678.29999999999973</v>
      </c>
      <c r="H6" s="46"/>
    </row>
    <row r="7" spans="1:8" x14ac:dyDescent="0.25">
      <c r="A7" s="48" t="s">
        <v>19</v>
      </c>
      <c r="B7" s="43">
        <v>1.5</v>
      </c>
      <c r="C7" s="44">
        <f>B7*0.35</f>
        <v>0.52499999999999991</v>
      </c>
      <c r="D7" s="44">
        <f>B7+C7</f>
        <v>2.0249999999999999</v>
      </c>
      <c r="E7" s="45">
        <v>123</v>
      </c>
      <c r="F7" s="44">
        <f>E7*D7</f>
        <v>249.07499999999999</v>
      </c>
      <c r="G7" s="44">
        <f>F7-(B7*E7)</f>
        <v>64.574999999999989</v>
      </c>
      <c r="H7" s="49"/>
    </row>
    <row r="8" spans="1:8" x14ac:dyDescent="0.25">
      <c r="A8" s="47" t="s">
        <v>9</v>
      </c>
      <c r="B8" s="43">
        <v>1.5</v>
      </c>
      <c r="C8" s="44">
        <f>B8*0.35</f>
        <v>0.52499999999999991</v>
      </c>
      <c r="D8" s="44">
        <f>B8+C8</f>
        <v>2.0249999999999999</v>
      </c>
      <c r="E8" s="45">
        <v>245</v>
      </c>
      <c r="F8" s="44">
        <f>E8*D8</f>
        <v>496.125</v>
      </c>
      <c r="G8" s="44">
        <f>F8-(B8*E8)</f>
        <v>128.625</v>
      </c>
      <c r="H8" s="50"/>
    </row>
    <row r="9" spans="1:8" ht="15.75" thickBot="1" x14ac:dyDescent="0.3">
      <c r="A9" s="51"/>
      <c r="B9" s="52"/>
      <c r="C9" s="53"/>
      <c r="D9" s="53"/>
      <c r="E9" s="54"/>
      <c r="F9" s="53"/>
      <c r="G9" s="53"/>
      <c r="H9" s="50"/>
    </row>
    <row r="10" spans="1:8" ht="15.75" thickTop="1" x14ac:dyDescent="0.25">
      <c r="A10" s="55" t="s">
        <v>10</v>
      </c>
      <c r="B10" s="56">
        <f>SUM(B4:B8)</f>
        <v>14.65</v>
      </c>
      <c r="C10" s="56">
        <f>SUM(C4:C8)</f>
        <v>5.1274999999999995</v>
      </c>
      <c r="D10" s="56">
        <f>SUM(D4:D8)</f>
        <v>19.777499999999996</v>
      </c>
      <c r="E10" s="57">
        <f>SUM(E4:E8)</f>
        <v>1403</v>
      </c>
      <c r="F10" s="56">
        <f>SUM(F4:F8)</f>
        <v>6246.1125000000002</v>
      </c>
      <c r="G10" s="56">
        <f>SUM(G4:G8)</f>
        <v>1619.3625</v>
      </c>
      <c r="H10" s="58"/>
    </row>
    <row r="11" spans="1:8" x14ac:dyDescent="0.25">
      <c r="A11" s="64" t="s">
        <v>11</v>
      </c>
      <c r="B11" s="68"/>
      <c r="C11" s="65"/>
      <c r="D11" s="59">
        <f>MAX(D4:D8)</f>
        <v>5.7374999999999998</v>
      </c>
      <c r="E11" s="59">
        <f>MAX(E4:E8)</f>
        <v>456</v>
      </c>
      <c r="F11" s="59">
        <f>MAX(F4:F8)</f>
        <v>2616.2999999999997</v>
      </c>
      <c r="G11" s="59">
        <f>MAX(G4:G8)</f>
        <v>678.29999999999973</v>
      </c>
      <c r="H11" s="60"/>
    </row>
    <row r="12" spans="1:8" x14ac:dyDescent="0.25">
      <c r="A12" s="64" t="s">
        <v>12</v>
      </c>
      <c r="B12" s="68"/>
      <c r="C12" s="65"/>
      <c r="D12" s="59">
        <f>AVERAGE(D4:D8)</f>
        <v>3.9554999999999993</v>
      </c>
      <c r="E12" s="59">
        <f>AVERAGE(E4:E8)</f>
        <v>280.60000000000002</v>
      </c>
      <c r="F12" s="59">
        <f>AVERAGE(F4:F8)</f>
        <v>1249.2225000000001</v>
      </c>
      <c r="G12" s="59">
        <f>AVERAGE(G4:G8)</f>
        <v>323.8725</v>
      </c>
      <c r="H12" s="61"/>
    </row>
    <row r="13" spans="1:8" ht="15.75" thickBot="1" x14ac:dyDescent="0.3">
      <c r="A13" s="66" t="s">
        <v>13</v>
      </c>
      <c r="B13" s="69"/>
      <c r="C13" s="67"/>
      <c r="D13" s="62">
        <f>MIN(D4:D8)</f>
        <v>2.0249999999999999</v>
      </c>
      <c r="E13" s="62">
        <f>MIN(E4:E8)</f>
        <v>123</v>
      </c>
      <c r="F13" s="62">
        <f>MIN(F4:F8)</f>
        <v>249.07499999999999</v>
      </c>
      <c r="G13" s="62">
        <f>MIN(G4:G8)</f>
        <v>64.574999999999989</v>
      </c>
      <c r="H13" s="63"/>
    </row>
    <row r="14" spans="1:8" ht="15.75" thickTop="1" x14ac:dyDescent="0.25"/>
    <row r="25" spans="10:10" x14ac:dyDescent="0.25">
      <c r="J25" t="s">
        <v>20</v>
      </c>
    </row>
  </sheetData>
  <mergeCells count="5">
    <mergeCell ref="A1:B1"/>
    <mergeCell ref="A2:H2"/>
    <mergeCell ref="A11:C11"/>
    <mergeCell ref="A12:C12"/>
    <mergeCell ref="A13:C1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236E2-0260-42E7-875D-E95356968842}">
  <dimension ref="A1:J25"/>
  <sheetViews>
    <sheetView tabSelected="1" zoomScaleNormal="100" workbookViewId="0">
      <selection activeCell="E26" sqref="E26"/>
    </sheetView>
  </sheetViews>
  <sheetFormatPr defaultRowHeight="15" x14ac:dyDescent="0.25"/>
  <cols>
    <col min="1" max="1" width="15.42578125" customWidth="1"/>
    <col min="2" max="2" width="17.42578125" customWidth="1"/>
    <col min="3" max="3" width="15.85546875" customWidth="1"/>
    <col min="4" max="4" width="17.85546875" customWidth="1"/>
    <col min="5" max="5" width="16.85546875" customWidth="1"/>
    <col min="6" max="6" width="24.85546875" customWidth="1"/>
    <col min="7" max="7" width="15.28515625" customWidth="1"/>
    <col min="8" max="8" width="18.85546875" customWidth="1"/>
  </cols>
  <sheetData>
    <row r="1" spans="1:8" ht="28.5" x14ac:dyDescent="0.45">
      <c r="A1" s="1" t="s">
        <v>16</v>
      </c>
      <c r="B1" s="1"/>
    </row>
    <row r="2" spans="1:8" ht="35.450000000000003" customHeight="1" x14ac:dyDescent="0.3">
      <c r="A2" s="2" t="s">
        <v>17</v>
      </c>
      <c r="B2" s="2"/>
      <c r="C2" s="2"/>
      <c r="D2" s="2"/>
      <c r="E2" s="2"/>
      <c r="F2" s="2"/>
      <c r="G2" s="2"/>
      <c r="H2" s="2"/>
    </row>
    <row r="3" spans="1:8" ht="54" x14ac:dyDescent="0.25">
      <c r="A3" s="3" t="s">
        <v>0</v>
      </c>
      <c r="B3" s="3" t="s">
        <v>1</v>
      </c>
      <c r="C3" s="3" t="s">
        <v>14</v>
      </c>
      <c r="D3" s="3" t="s">
        <v>15</v>
      </c>
      <c r="E3" s="3" t="s">
        <v>2</v>
      </c>
      <c r="F3" s="4" t="s">
        <v>3</v>
      </c>
      <c r="G3" s="4" t="s">
        <v>4</v>
      </c>
      <c r="H3" s="4" t="s">
        <v>5</v>
      </c>
    </row>
    <row r="4" spans="1:8" ht="18" x14ac:dyDescent="0.25">
      <c r="A4" s="5" t="s">
        <v>6</v>
      </c>
      <c r="B4" s="6">
        <v>3.75</v>
      </c>
      <c r="C4" s="7">
        <f>B4*0.35</f>
        <v>1.3125</v>
      </c>
      <c r="D4" s="7">
        <f>B4+C4</f>
        <v>5.0625</v>
      </c>
      <c r="E4" s="8">
        <v>234</v>
      </c>
      <c r="F4" s="7">
        <f>E4*D4</f>
        <v>1184.625</v>
      </c>
      <c r="G4" s="7">
        <f>F4-(B4*E4)</f>
        <v>307.125</v>
      </c>
      <c r="H4" s="9">
        <v>0.35</v>
      </c>
    </row>
    <row r="5" spans="1:8" ht="18" x14ac:dyDescent="0.25">
      <c r="A5" s="10" t="s">
        <v>7</v>
      </c>
      <c r="B5" s="11">
        <v>3.65</v>
      </c>
      <c r="C5" s="12">
        <f>B5*0.35</f>
        <v>1.2774999999999999</v>
      </c>
      <c r="D5" s="12">
        <f>B5+C5</f>
        <v>4.9275000000000002</v>
      </c>
      <c r="E5" s="13">
        <v>345</v>
      </c>
      <c r="F5" s="12">
        <f>E5*D5</f>
        <v>1699.9875000000002</v>
      </c>
      <c r="G5" s="12">
        <f>F5-(B5*E5)</f>
        <v>440.73750000000018</v>
      </c>
      <c r="H5" s="14"/>
    </row>
    <row r="6" spans="1:8" ht="18" x14ac:dyDescent="0.25">
      <c r="A6" s="15" t="s">
        <v>8</v>
      </c>
      <c r="B6" s="11">
        <v>4.25</v>
      </c>
      <c r="C6" s="12">
        <f>B6*0.35</f>
        <v>1.4874999999999998</v>
      </c>
      <c r="D6" s="12">
        <f>B6+C6</f>
        <v>5.7374999999999998</v>
      </c>
      <c r="E6" s="13">
        <v>456</v>
      </c>
      <c r="F6" s="12">
        <f>E6*D6</f>
        <v>2616.2999999999997</v>
      </c>
      <c r="G6" s="12">
        <f>F6-(B6*E6)</f>
        <v>678.29999999999973</v>
      </c>
      <c r="H6" s="14"/>
    </row>
    <row r="7" spans="1:8" ht="18" x14ac:dyDescent="0.25">
      <c r="A7" s="16" t="s">
        <v>18</v>
      </c>
      <c r="B7" s="11">
        <v>1.5</v>
      </c>
      <c r="C7" s="12">
        <f>B7*0.35</f>
        <v>0.52499999999999991</v>
      </c>
      <c r="D7" s="12">
        <f>B7+C7</f>
        <v>2.0249999999999999</v>
      </c>
      <c r="E7" s="13">
        <v>123</v>
      </c>
      <c r="F7" s="12">
        <f>E7*D7</f>
        <v>249.07499999999999</v>
      </c>
      <c r="G7" s="12">
        <f>F7-(B7*E7)</f>
        <v>64.574999999999989</v>
      </c>
      <c r="H7" s="17"/>
    </row>
    <row r="8" spans="1:8" ht="18" x14ac:dyDescent="0.25">
      <c r="A8" s="15" t="s">
        <v>9</v>
      </c>
      <c r="B8" s="11">
        <v>1.5</v>
      </c>
      <c r="C8" s="12">
        <f>B8*0.35</f>
        <v>0.52499999999999991</v>
      </c>
      <c r="D8" s="12">
        <f>B8+C8</f>
        <v>2.0249999999999999</v>
      </c>
      <c r="E8" s="13">
        <v>245</v>
      </c>
      <c r="F8" s="12">
        <f>E8*D8</f>
        <v>496.125</v>
      </c>
      <c r="G8" s="12">
        <f>F8-(B8*E8)</f>
        <v>128.625</v>
      </c>
      <c r="H8" s="18"/>
    </row>
    <row r="9" spans="1:8" ht="18.75" thickBot="1" x14ac:dyDescent="0.3">
      <c r="A9" s="19"/>
      <c r="B9" s="20"/>
      <c r="C9" s="21"/>
      <c r="D9" s="21"/>
      <c r="E9" s="22"/>
      <c r="F9" s="21"/>
      <c r="G9" s="21"/>
      <c r="H9" s="18"/>
    </row>
    <row r="10" spans="1:8" ht="18.75" thickTop="1" x14ac:dyDescent="0.25">
      <c r="A10" s="23" t="s">
        <v>10</v>
      </c>
      <c r="B10" s="24">
        <f>SUM(B4:B8)</f>
        <v>14.65</v>
      </c>
      <c r="C10" s="24">
        <f>SUM(C4:C8)</f>
        <v>5.1274999999999995</v>
      </c>
      <c r="D10" s="24">
        <f>SUM(D4:D8)</f>
        <v>19.777499999999996</v>
      </c>
      <c r="E10" s="25">
        <f>SUM(E4:E8)</f>
        <v>1403</v>
      </c>
      <c r="F10" s="24">
        <f>SUM(F4:F8)</f>
        <v>6246.1125000000002</v>
      </c>
      <c r="G10" s="24">
        <f>SUM(G4:G8)</f>
        <v>1619.3625</v>
      </c>
      <c r="H10" s="26"/>
    </row>
    <row r="11" spans="1:8" ht="18" x14ac:dyDescent="0.25">
      <c r="A11" s="27" t="s">
        <v>11</v>
      </c>
      <c r="B11" s="28"/>
      <c r="C11" s="13"/>
      <c r="D11" s="12">
        <f>MAX(D4:D8)</f>
        <v>5.7374999999999998</v>
      </c>
      <c r="E11" s="12">
        <f>MAX(E4:E8)</f>
        <v>456</v>
      </c>
      <c r="F11" s="12">
        <f>MAX(F4:F8)</f>
        <v>2616.2999999999997</v>
      </c>
      <c r="G11" s="12">
        <f>MAX(G4:G8)</f>
        <v>678.29999999999973</v>
      </c>
      <c r="H11" s="18"/>
    </row>
    <row r="12" spans="1:8" ht="18" x14ac:dyDescent="0.25">
      <c r="A12" s="27" t="s">
        <v>12</v>
      </c>
      <c r="B12" s="28"/>
      <c r="C12" s="13"/>
      <c r="D12" s="12">
        <f>AVERAGE(D4:D8)</f>
        <v>3.9554999999999993</v>
      </c>
      <c r="E12" s="12">
        <f>AVERAGE(E4:E8)</f>
        <v>280.60000000000002</v>
      </c>
      <c r="F12" s="12">
        <f>AVERAGE(F4:F8)</f>
        <v>1249.2225000000001</v>
      </c>
      <c r="G12" s="12">
        <f>AVERAGE(G4:G8)</f>
        <v>323.8725</v>
      </c>
      <c r="H12" s="14"/>
    </row>
    <row r="13" spans="1:8" ht="18.75" thickBot="1" x14ac:dyDescent="0.3">
      <c r="A13" s="29" t="s">
        <v>13</v>
      </c>
      <c r="B13" s="30"/>
      <c r="C13" s="31"/>
      <c r="D13" s="32">
        <f>MIN(D4:D8)</f>
        <v>2.0249999999999999</v>
      </c>
      <c r="E13" s="32">
        <f>MIN(E4:E8)</f>
        <v>123</v>
      </c>
      <c r="F13" s="32">
        <f>MIN(F4:F8)</f>
        <v>249.07499999999999</v>
      </c>
      <c r="G13" s="32">
        <f>MIN(G4:G8)</f>
        <v>64.574999999999989</v>
      </c>
      <c r="H13" s="33"/>
    </row>
    <row r="14" spans="1:8" ht="15.75" thickTop="1" x14ac:dyDescent="0.25"/>
    <row r="25" spans="10:10" x14ac:dyDescent="0.25">
      <c r="J25" t="s">
        <v>20</v>
      </c>
    </row>
  </sheetData>
  <mergeCells count="2">
    <mergeCell ref="A1:B1"/>
    <mergeCell ref="A2:H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formulas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Swati bharti</dc:creator>
  <cp:lastModifiedBy>Csd</cp:lastModifiedBy>
  <dcterms:created xsi:type="dcterms:W3CDTF">2026-08-19T11:33:48Z</dcterms:created>
  <dcterms:modified xsi:type="dcterms:W3CDTF">2026-08-20T10:45:14Z</dcterms:modified>
</cp:coreProperties>
</file>